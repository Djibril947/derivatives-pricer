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rame\Desktop\VBA\"/>
    </mc:Choice>
  </mc:AlternateContent>
  <xr:revisionPtr revIDLastSave="0" documentId="8_{9AAAB034-D0A2-4BFA-B6E7-C30A1098C318}" xr6:coauthVersionLast="47" xr6:coauthVersionMax="47" xr10:uidLastSave="{00000000-0000-0000-0000-000000000000}"/>
  <bookViews>
    <workbookView xWindow="-120" yWindow="-120" windowWidth="29040" windowHeight="15720" xr2:uid="{6C3CE80A-A2A5-4E5E-AB8A-3F749E4F0703}"/>
  </bookViews>
  <sheets>
    <sheet name="Feuil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G9" i="1" l="1" a="1"/>
  <c r="F9" i="1" a="1"/>
  <c r="G8" i="1" a="1"/>
  <c r="F8" i="1" a="1"/>
  <c r="G7" i="1" a="1"/>
  <c r="F7" i="1" a="1"/>
  <c r="G6" i="1" a="1"/>
  <c r="F6" i="1" a="1"/>
  <c r="G5" i="1" a="1"/>
  <c r="F5" i="1" a="1"/>
  <c r="G4" i="1" a="1"/>
  <c r="F4" i="1" a="1"/>
  <c r="G3" i="1" a="1"/>
  <c r="F3" i="1" a="1"/>
  <c r="G2" i="1" a="1"/>
  <c r="F2" i="1" a="1"/>
  <c r="G9" i="1" l="1"/>
  <c r="F9" i="1"/>
  <c r="G8" i="1"/>
  <c r="F8" i="1"/>
  <c r="G7" i="1"/>
  <c r="F7" i="1"/>
  <c r="G6" i="1"/>
  <c r="F6" i="1"/>
  <c r="G5" i="1"/>
  <c r="F5" i="1"/>
  <c r="G4" i="1"/>
  <c r="F4" i="1"/>
  <c r="G3" i="1"/>
  <c r="F3" i="1"/>
  <c r="G2" i="1"/>
  <c r="F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<sst xmlns="http://schemas.openxmlformats.org/spreadsheetml/2006/main" count="21" uniqueCount="20">
  <si>
    <t>Paramètres</t>
  </si>
  <si>
    <t>Résultats</t>
  </si>
  <si>
    <t>Call</t>
  </si>
  <si>
    <t>Put</t>
  </si>
  <si>
    <t>S</t>
  </si>
  <si>
    <t>Prix</t>
  </si>
  <si>
    <t>K</t>
  </si>
  <si>
    <t>Delta</t>
  </si>
  <si>
    <t>T</t>
  </si>
  <si>
    <t>Gamma</t>
  </si>
  <si>
    <t>r</t>
  </si>
  <si>
    <t>Vega</t>
  </si>
  <si>
    <t>sigma</t>
  </si>
  <si>
    <t>Theta</t>
  </si>
  <si>
    <t>Rho</t>
  </si>
  <si>
    <t>Vanna</t>
  </si>
  <si>
    <t>Volga</t>
  </si>
  <si>
    <t>Prix de marché</t>
  </si>
  <si>
    <t>Type</t>
  </si>
  <si>
    <t>Vol implicite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</si>
</sst>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">
    <xf numFmtId="0" fontId="0" fillId="0" borderId="0" xfId="0"/>
    <xf numFmtId="9" fontId="0" fillId="0" borderId="0" xfId="1" applyFont="1"/>
  </cellXfs>
  <cellStyles count="2">
    <cellStyle name="Normal" xfId="0" builtinId="0"/>
    <cellStyle name="Pourcentag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9</xdr:row>
          <xdr:rowOff>175759</xdr:rowOff>
        </xdr:from>
        <xdr:to>
          <xdr:col>1</xdr:col>
          <xdr:colOff>752475</xdr:colOff>
          <xdr:row>11</xdr:row>
          <xdr:rowOff>30616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Calculer_vol_implicite</a:t>
              </a: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1ECEFC-A5CB-4DB2-A9EF-CBCD63B3CDCF}">
  <sheetPr codeName="Feuil1"/>
  <dimension ref="A1:G10"/>
  <sheetViews>
    <sheetView tabSelected="1" zoomScale="168" workbookViewId="0">
      <selection activeCell="B9" sqref="B9"/>
    </sheetView>
  </sheetViews>
  <sheetFormatPr baseColWidth="10" defaultRowHeight="15" x14ac:dyDescent="0.25"/>
  <cols>
    <col min="1" max="1" width="14" bestFit="1" customWidth="1"/>
  </cols>
  <sheetData>
    <row r="1" spans="1:7" x14ac:dyDescent="0.25">
      <c r="A1" t="s">
        <v>0</v>
      </c>
      <c r="E1" t="s">
        <v>1</v>
      </c>
      <c r="F1" t="s">
        <v>2</v>
      </c>
      <c r="G1" t="s">
        <v>3</v>
      </c>
    </row>
    <row r="2" spans="1:7" x14ac:dyDescent="0.25">
      <c r="A2" t="s">
        <v>4</v>
      </c>
      <c r="B2">
        <v>100</v>
      </c>
      <c r="E2" t="s">
        <v>5</v>
      </c>
      <c r="F2" cm="1">
        <f t="array" ref="F2">BS_Call($B$2,$B$3,$B$4,$B$5,$B$6)</f>
        <v>10.45058357218557</v>
      </c>
      <c r="G2" cm="1">
        <f t="array" ref="G2">BS_Put($B$2,$B$3,$B$4,$B$5,$B$6)</f>
        <v>5.5735260222569671</v>
      </c>
    </row>
    <row r="3" spans="1:7" x14ac:dyDescent="0.25">
      <c r="A3" t="s">
        <v>6</v>
      </c>
      <c r="B3">
        <v>100</v>
      </c>
      <c r="E3" t="s">
        <v>7</v>
      </c>
      <c r="F3" cm="1">
        <f t="array" ref="F3">BS_Delta_Call($B$2,$B$3,$B$4,$B$5,$B$6)</f>
        <v>0.6368306511756191</v>
      </c>
      <c r="G3" cm="1">
        <f t="array" ref="G3">BS_Delta_Put($B$2,$B$3,$B$4,$B$5,$B$6)</f>
        <v>-0.3631693488243809</v>
      </c>
    </row>
    <row r="4" spans="1:7" x14ac:dyDescent="0.25">
      <c r="A4" t="s">
        <v>8</v>
      </c>
      <c r="B4">
        <v>1</v>
      </c>
      <c r="E4" t="s">
        <v>9</v>
      </c>
      <c r="F4" cm="1">
        <f t="array" ref="F4">BS_Gamma($B$2,$B$3,$B$4,$B$5,$B$6)</f>
        <v>1.8762017345846895E-2</v>
      </c>
      <c r="G4" cm="1">
        <f t="array" ref="G4">BS_Gamma($B$2,$B$3,$B$4,$B$5,$B$6)</f>
        <v>1.8762017345846895E-2</v>
      </c>
    </row>
    <row r="5" spans="1:7" x14ac:dyDescent="0.25">
      <c r="A5" t="s">
        <v>10</v>
      </c>
      <c r="B5">
        <v>0.05</v>
      </c>
      <c r="E5" t="s">
        <v>11</v>
      </c>
      <c r="F5" cm="1">
        <f t="array" ref="F5">BS_Vega($B$2,$B$3,$B$4,$B$5,$B$6)</f>
        <v>0.37524034691693792</v>
      </c>
      <c r="G5" cm="1">
        <f t="array" ref="G5">BS_Vega($B$2,$B$3,$B$4,$B$5,$B$6)</f>
        <v>0.37524034691693792</v>
      </c>
    </row>
    <row r="6" spans="1:7" x14ac:dyDescent="0.25">
      <c r="A6" t="s">
        <v>12</v>
      </c>
      <c r="B6">
        <v>0.2</v>
      </c>
      <c r="E6" t="s">
        <v>13</v>
      </c>
      <c r="F6" cm="1">
        <f t="array" ref="F6">BS_Theta_Call($B$2,$B$3,$B$4,$B$5,$B$6)</f>
        <v>-1.7572678209419719E-2</v>
      </c>
      <c r="G6" cm="1">
        <f t="array" ref="G6">BS_Theta_Put($B$2,$B$3,$B$4,$B$5,$B$6)</f>
        <v>-4.5421381477661E-3</v>
      </c>
    </row>
    <row r="7" spans="1:7" x14ac:dyDescent="0.25">
      <c r="E7" t="s">
        <v>14</v>
      </c>
      <c r="F7" cm="1">
        <f t="array" ref="F7">BS_Rho_Call($B$2,$B$3,$B$4,$B$5,$B$6)</f>
        <v>0.53232481545376342</v>
      </c>
      <c r="G7" cm="1">
        <f t="array" ref="G7">BS_Rho_Put($B$2,$B$3,$B$4,$B$5,$B$6)</f>
        <v>-0.41890460904695059</v>
      </c>
    </row>
    <row r="8" spans="1:7" x14ac:dyDescent="0.25">
      <c r="A8" t="s">
        <v>17</v>
      </c>
      <c r="B8">
        <v>8</v>
      </c>
      <c r="E8" t="s">
        <v>15</v>
      </c>
      <c r="F8" cm="1">
        <f t="array" ref="F8">BS_Vanna($B$2,$B$3,$B$4,$B$5,$B$6)</f>
        <v>-0.28143026018770345</v>
      </c>
      <c r="G8" cm="1">
        <f t="array" ref="G8">BS_Vanna($B$2,$B$3,$B$4,$B$5,$B$6)</f>
        <v>-0.28143026018770345</v>
      </c>
    </row>
    <row r="9" spans="1:7" x14ac:dyDescent="0.25">
      <c r="A9" t="s">
        <v>18</v>
      </c>
      <c r="B9" t="s">
        <v>2</v>
      </c>
      <c r="E9" t="s">
        <v>16</v>
      </c>
      <c r="F9" cm="1">
        <f t="array" ref="F9">BS_Volga($B$2,$B$3,$B$4,$B$5,$B$6)</f>
        <v>9.8500591065696225E-2</v>
      </c>
      <c r="G9" cm="1">
        <f t="array" ref="G9">BS_Volga($B$2,$B$3,$B$4,$B$5,$B$6)</f>
        <v>9.8500591065696225E-2</v>
      </c>
    </row>
    <row r="10" spans="1:7" x14ac:dyDescent="0.25">
      <c r="A10" t="s">
        <v>19</v>
      </c>
      <c r="B10" s="1">
        <v>0.13377582588962492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3" name="Button 7">
              <controlPr defaultSize="0" print="0" autoFill="0" autoPict="0" macro="[0]!Calculer_VolImplicite">
                <anchor moveWithCells="1" sizeWithCells="1">
                  <from>
                    <xdr:col>0</xdr:col>
                    <xdr:colOff>0</xdr:colOff>
                    <xdr:row>9</xdr:row>
                    <xdr:rowOff>171450</xdr:rowOff>
                  </from>
                  <to>
                    <xdr:col>1</xdr:col>
                    <xdr:colOff>752475</xdr:colOff>
                    <xdr:row>11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DRAME Djibril</dc:creator>
  <cp:lastModifiedBy>DRAME Djibril</cp:lastModifiedBy>
  <dcterms:created xsi:type="dcterms:W3CDTF">2026-10-06T00:49:17Z</dcterms:created>
  <dcterms:modified xsi:type="dcterms:W3CDTF">2026-10-06T11:43:45Z</dcterms:modified>
</cp:coreProperties>
</file>